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 de test" sheetId="1" state="visible" r:id="rId1"/>
    <sheet xmlns:r="http://schemas.openxmlformats.org/officeDocument/2006/relationships" name="Synthèse" sheetId="2" state="visible" r:id="rId2"/>
  </sheets>
  <definedNames>
    <definedName name="_xlnm._FilterDatabase" localSheetId="0" hidden="1">'Cas de test'!$A$1:$L$25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34" customWidth="1" min="4" max="4"/>
    <col width="34" customWidth="1" min="5" max="5"/>
    <col width="30" customWidth="1" min="6" max="6"/>
    <col width="34" customWidth="1" min="7" max="7"/>
    <col width="40" customWidth="1" min="8" max="8"/>
    <col width="38" customWidth="1" min="9" max="9"/>
    <col width="38" customWidth="1" min="10" max="10"/>
    <col width="10" customWidth="1" min="11" max="11"/>
    <col width="9" customWidth="1" min="12" max="12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Priorité</t>
        </is>
      </c>
      <c r="D1" s="1" t="inlineStr">
        <is>
          <t>Titre</t>
        </is>
      </c>
      <c r="E1" s="1" t="inlineStr">
        <is>
          <t>Objectif</t>
        </is>
      </c>
      <c r="F1" s="1" t="inlineStr">
        <is>
          <t>Préconditions</t>
        </is>
      </c>
      <c r="G1" s="1" t="inlineStr">
        <is>
          <t>Données</t>
        </is>
      </c>
      <c r="H1" s="1" t="inlineStr">
        <is>
          <t>Étapes</t>
        </is>
      </c>
      <c r="I1" s="1" t="inlineStr">
        <is>
          <t>Résultat attendu</t>
        </is>
      </c>
      <c r="J1" s="1" t="inlineStr">
        <is>
          <t>Résultat obtenu</t>
        </is>
      </c>
      <c r="K1" s="1" t="inlineStr">
        <is>
          <t>Statut</t>
        </is>
      </c>
      <c r="L1" s="1" t="inlineStr">
        <is>
          <t>Bug lié</t>
        </is>
      </c>
    </row>
    <row r="2">
      <c r="A2" s="2" t="inlineStr">
        <is>
          <t>TC-N01</t>
        </is>
      </c>
      <c r="B2" s="2" t="inlineStr">
        <is>
          <t>Nominal</t>
        </is>
      </c>
      <c r="C2" s="2" t="inlineStr">
        <is>
          <t>P2</t>
        </is>
      </c>
      <c r="D2" s="2" t="inlineStr">
        <is>
          <t>Connexion client valide</t>
        </is>
      </c>
      <c r="E2" s="2" t="inlineStr">
        <is>
          <t>Vérifier qu'un client existant peut se connecter</t>
        </is>
      </c>
      <c r="F2" s="2" t="inlineStr">
        <is>
          <t>Base seedée, utilisateur déconnecté</t>
        </is>
      </c>
      <c r="G2" s="2" t="inlineStr">
        <is>
          <t>alice@example.com / Password123!</t>
        </is>
      </c>
      <c r="H2" s="2" t="inlineStr">
        <is>
          <t>1. Aller sur /login
2. Saisir email et mot de passe
3. Valider</t>
        </is>
      </c>
      <c r="I2" s="2" t="inlineStr">
        <is>
          <t>Redirection vers l'accueil, lien "Mon profil" visible</t>
        </is>
      </c>
      <c r="J2" s="2" t="inlineStr">
        <is>
          <t>Redirection vers l'accueil, client connecté</t>
        </is>
      </c>
      <c r="K2" s="3" t="inlineStr">
        <is>
          <t>Pass</t>
        </is>
      </c>
      <c r="L2" s="2" t="inlineStr"/>
    </row>
    <row r="3">
      <c r="A3" s="2" t="inlineStr">
        <is>
          <t>TC-N02</t>
        </is>
      </c>
      <c r="B3" s="2" t="inlineStr">
        <is>
          <t>Nominal</t>
        </is>
      </c>
      <c r="C3" s="2" t="inlineStr">
        <is>
          <t>P3</t>
        </is>
      </c>
      <c r="D3" s="2" t="inlineStr">
        <is>
          <t>Recherche d'un restaurant par nom</t>
        </is>
      </c>
      <c r="E3" s="2" t="inlineStr">
        <is>
          <t>Vérifier la recherche sur le nom</t>
        </is>
      </c>
      <c r="F3" s="2" t="inlineStr">
        <is>
          <t>Base seedée</t>
        </is>
      </c>
      <c r="G3" s="2" t="inlineStr">
        <is>
          <t>q = Pizza</t>
        </is>
      </c>
      <c r="H3" s="2" t="inlineStr">
        <is>
          <t>1. Accueil
2. Saisir "Pizza" dans la recherche
3. Valider</t>
        </is>
      </c>
      <c r="I3" s="2" t="inlineStr">
        <is>
          <t>Pizza Roma est affiché</t>
        </is>
      </c>
      <c r="J3" s="2" t="inlineStr">
        <is>
          <t>Pizza Roma affiché</t>
        </is>
      </c>
      <c r="K3" s="3" t="inlineStr">
        <is>
          <t>Pass</t>
        </is>
      </c>
      <c r="L3" s="2" t="inlineStr"/>
    </row>
    <row r="4">
      <c r="A4" s="2" t="inlineStr">
        <is>
          <t>TC-N03</t>
        </is>
      </c>
      <c r="B4" s="2" t="inlineStr">
        <is>
          <t>Nominal</t>
        </is>
      </c>
      <c r="C4" s="2" t="inlineStr">
        <is>
          <t>P2</t>
        </is>
      </c>
      <c r="D4" s="2" t="inlineStr">
        <is>
          <t>Ajout au panier et calcul du total</t>
        </is>
      </c>
      <c r="E4" s="2" t="inlineStr">
        <is>
          <t>Vérifier le calcul sous-total + livraison</t>
        </is>
      </c>
      <c r="F4" s="2" t="inlineStr">
        <is>
          <t>Client connecté, panier vide</t>
        </is>
      </c>
      <c r="G4" s="2" t="inlineStr">
        <is>
          <t>Burger Factory : Classic Burger (11,90 €) x 2</t>
        </is>
      </c>
      <c r="H4" s="2" t="inlineStr">
        <is>
          <t>1. Ouvrir Burger Factory
2. Ajouter Classic Burger quantité 2
3. Ouvrir /cart</t>
        </is>
      </c>
      <c r="I4" s="2" t="inlineStr">
        <is>
          <t>Sous-total 23,80 €, livraison 2,99 €, total 26,79 €</t>
        </is>
      </c>
      <c r="J4" s="2" t="inlineStr">
        <is>
          <t>Sous-total 23,80 €, livraison 2,99 €, total 26,79 €</t>
        </is>
      </c>
      <c r="K4" s="3" t="inlineStr">
        <is>
          <t>Pass</t>
        </is>
      </c>
      <c r="L4" s="2" t="inlineStr"/>
    </row>
    <row r="5">
      <c r="A5" s="2" t="inlineStr">
        <is>
          <t>TC-N04</t>
        </is>
      </c>
      <c r="B5" s="2" t="inlineStr">
        <is>
          <t>Nominal</t>
        </is>
      </c>
      <c r="C5" s="2" t="inlineStr">
        <is>
          <t>P1</t>
        </is>
      </c>
      <c r="D5" s="2" t="inlineStr">
        <is>
          <t>Commande payée par carte</t>
        </is>
      </c>
      <c r="E5" s="2" t="inlineStr">
        <is>
          <t>Vérifier le parcours de commande complet</t>
        </is>
      </c>
      <c r="F5" s="2" t="inlineStr">
        <is>
          <t>Client connecté, panier TC-N03, adresse par défaut</t>
        </is>
      </c>
      <c r="G5" s="2" t="inlineStr">
        <is>
          <t>Paiement : carte</t>
        </is>
      </c>
      <c r="H5" s="2" t="inlineStr">
        <is>
          <t>1. Ouvrir /checkout
2. Choisir l'adresse Domicile
3. Choisir Carte
4. Confirmer</t>
        </is>
      </c>
      <c r="I5" s="2" t="inlineStr">
        <is>
          <t>Une commande "confirmed", paiement "paid", total 26,79 €, panier vidé</t>
        </is>
      </c>
      <c r="J5" s="2" t="inlineStr">
        <is>
          <t>Commande confirmée, payée, 26,79 €, panier vide</t>
        </is>
      </c>
      <c r="K5" s="3" t="inlineStr">
        <is>
          <t>Pass</t>
        </is>
      </c>
      <c r="L5" s="2" t="inlineStr"/>
    </row>
    <row r="6">
      <c r="A6" s="2" t="inlineStr">
        <is>
          <t>TC-N05</t>
        </is>
      </c>
      <c r="B6" s="2" t="inlineStr">
        <is>
          <t>Nominal</t>
        </is>
      </c>
      <c r="C6" s="2" t="inlineStr">
        <is>
          <t>P2</t>
        </is>
      </c>
      <c r="D6" s="2" t="inlineStr">
        <is>
          <t>Application du coupon WELCOME10</t>
        </is>
      </c>
      <c r="E6" s="2" t="inlineStr">
        <is>
          <t>Vérifier le calcul d'un coupon valide</t>
        </is>
      </c>
      <c r="F6" s="2" t="inlineStr">
        <is>
          <t>Client connecté, panier 23,80 € (Burger Factory)</t>
        </is>
      </c>
      <c r="G6" s="2" t="inlineStr">
        <is>
          <t>Coupon WELCOME10 (10 %, min 20 €, plafond 8 €)</t>
        </is>
      </c>
      <c r="H6" s="2" t="inlineStr">
        <is>
          <t>1. /checkout
2. Saisir WELCOME10
3. Appliquer</t>
        </is>
      </c>
      <c r="I6" s="2" t="inlineStr">
        <is>
          <t>Réduction 2,38 €, total 24,41 €</t>
        </is>
      </c>
      <c r="J6" s="2" t="inlineStr">
        <is>
          <t>Réduction 2,38 €, total 24,41 €</t>
        </is>
      </c>
      <c r="K6" s="3" t="inlineStr">
        <is>
          <t>Pass</t>
        </is>
      </c>
      <c r="L6" s="2" t="inlineStr"/>
    </row>
    <row r="7">
      <c r="A7" s="2" t="inlineStr">
        <is>
          <t>TC-N06</t>
        </is>
      </c>
      <c r="B7" s="2" t="inlineStr">
        <is>
          <t>Nominal</t>
        </is>
      </c>
      <c r="C7" s="2" t="inlineStr">
        <is>
          <t>P2</t>
        </is>
      </c>
      <c r="D7" s="2" t="inlineStr">
        <is>
          <t>API : liste des restaurants</t>
        </is>
      </c>
      <c r="E7" s="2" t="inlineStr">
        <is>
          <t>Vérifier le contrat GET /api/restaurants</t>
        </is>
      </c>
      <c r="F7" s="2" t="inlineStr">
        <is>
          <t>App démarrée</t>
        </is>
      </c>
      <c r="G7" s="2" t="inlineStr">
        <is>
          <t>Header X-API-Key: quickorder-demo-key</t>
        </is>
      </c>
      <c r="H7" s="2" t="inlineStr">
        <is>
          <t>1. Swagger &gt; Authorize
2. GET /api/restaurants
3. Execute</t>
        </is>
      </c>
      <c r="I7" s="2" t="inlineStr">
        <is>
          <t>HTTP 200, JSON {count, items[]} avec les champs du contrat OpenAPI</t>
        </is>
      </c>
      <c r="J7" s="2" t="inlineStr">
        <is>
          <t>HTTP 200, count = 6, items conformes</t>
        </is>
      </c>
      <c r="K7" s="3" t="inlineStr">
        <is>
          <t>Pass</t>
        </is>
      </c>
      <c r="L7" s="2" t="inlineStr"/>
    </row>
    <row r="8">
      <c r="A8" s="2" t="inlineStr">
        <is>
          <t>TC-L01</t>
        </is>
      </c>
      <c r="B8" s="2" t="inlineStr">
        <is>
          <t>Limite</t>
        </is>
      </c>
      <c r="C8" s="2" t="inlineStr">
        <is>
          <t>P2</t>
        </is>
      </c>
      <c r="D8" s="2" t="inlineStr">
        <is>
          <t>Inscription avec mot de passe de 8 caractères</t>
        </is>
      </c>
      <c r="E8" s="2" t="inlineStr">
        <is>
          <t>Vérifier la borne minimale du mot de passe</t>
        </is>
      </c>
      <c r="F8" s="2" t="inlineStr">
        <is>
          <t>Utilisateur déconnecté</t>
        </is>
      </c>
      <c r="G8" s="2" t="inlineStr">
        <is>
          <t>Nom : Test QA, email : qa.limite@example.com, mdp : Abcdef1! (8 car.)</t>
        </is>
      </c>
      <c r="H8" s="2" t="inlineStr">
        <is>
          <t>1. /register
2. Remplir le formulaire
3. Valider</t>
        </is>
      </c>
      <c r="I8" s="2" t="inlineStr">
        <is>
          <t>Compte créé, utilisateur connecté (7 caractères doit être refusé)</t>
        </is>
      </c>
      <c r="J8" s="2" t="inlineStr">
        <is>
          <t>Compte créé et connecté, 7 caractères refusé</t>
        </is>
      </c>
      <c r="K8" s="3" t="inlineStr">
        <is>
          <t>Pass</t>
        </is>
      </c>
      <c r="L8" s="2" t="inlineStr"/>
    </row>
    <row r="9">
      <c r="A9" s="2" t="inlineStr">
        <is>
          <t>TC-L02</t>
        </is>
      </c>
      <c r="B9" s="2" t="inlineStr">
        <is>
          <t>Limite</t>
        </is>
      </c>
      <c r="C9" s="2" t="inlineStr">
        <is>
          <t>P2</t>
        </is>
      </c>
      <c r="D9" s="2" t="inlineStr">
        <is>
          <t>Coupon au montant minimum exact</t>
        </is>
      </c>
      <c r="E9" s="2" t="inlineStr">
        <is>
          <t>Vérifier la borne min_order_amount</t>
        </is>
      </c>
      <c r="F9" s="2" t="inlineStr">
        <is>
          <t>Swagger autorisé</t>
        </is>
      </c>
      <c r="G9" s="2" t="inlineStr">
        <is>
          <t>POST /api/coupons/validate {code: WELCOME10, subtotal: 20.00} puis subtotal 19.99</t>
        </is>
      </c>
      <c r="H9" s="2" t="inlineStr">
        <is>
          <t>1. Envoyer subtotal 20.00
2. Envoyer subtotal 19.99</t>
        </is>
      </c>
      <c r="I9" s="2" t="inlineStr">
        <is>
          <t>Avec 20.00 : valid true et discount 2.00. Avec 19.99 : valid false, "Montant minimum non atteint"</t>
        </is>
      </c>
      <c r="J9" s="2" t="inlineStr">
        <is>
          <t>20.00 accepté (remise 2.00), 19.99 refusé</t>
        </is>
      </c>
      <c r="K9" s="3" t="inlineStr">
        <is>
          <t>Pass</t>
        </is>
      </c>
      <c r="L9" s="2" t="inlineStr"/>
    </row>
    <row r="10">
      <c r="A10" s="2" t="inlineStr">
        <is>
          <t>TC-L03</t>
        </is>
      </c>
      <c r="B10" s="2" t="inlineStr">
        <is>
          <t>Limite</t>
        </is>
      </c>
      <c r="C10" s="2" t="inlineStr">
        <is>
          <t>P2</t>
        </is>
      </c>
      <c r="D10" s="2" t="inlineStr">
        <is>
          <t>Plafond de réduction du coupon</t>
        </is>
      </c>
      <c r="E10" s="2" t="inlineStr">
        <is>
          <t>Vérifier max_discount</t>
        </is>
      </c>
      <c r="F10" s="2" t="inlineStr">
        <is>
          <t>Swagger autorisé</t>
        </is>
      </c>
      <c r="G10" s="2" t="inlineStr">
        <is>
          <t>POST /api/coupons/validate {code: WELCOME10, subtotal: 100}</t>
        </is>
      </c>
      <c r="H10" s="2" t="inlineStr">
        <is>
          <t>1. Envoyer la requête</t>
        </is>
      </c>
      <c r="I10" s="2" t="inlineStr">
        <is>
          <t>discount = 8.00 (plafond) et non 10.00</t>
        </is>
      </c>
      <c r="J10" s="2" t="inlineStr">
        <is>
          <t>discount = 8.0</t>
        </is>
      </c>
      <c r="K10" s="3" t="inlineStr">
        <is>
          <t>Pass</t>
        </is>
      </c>
      <c r="L10" s="2" t="inlineStr"/>
    </row>
    <row r="11">
      <c r="A11" s="2" t="inlineStr">
        <is>
          <t>TC-L04</t>
        </is>
      </c>
      <c r="B11" s="2" t="inlineStr">
        <is>
          <t>Limite</t>
        </is>
      </c>
      <c r="C11" s="2" t="inlineStr">
        <is>
          <t>P1</t>
        </is>
      </c>
      <c r="D11" s="2" t="inlineStr">
        <is>
          <t>API : quantité aux bornes 20 / 21</t>
        </is>
      </c>
      <c r="E11" s="2" t="inlineStr">
        <is>
          <t>Vérifier la borne max de quantité</t>
        </is>
      </c>
      <c r="F11" s="2" t="inlineStr">
        <is>
          <t>Swagger autorisé, base seedée</t>
        </is>
      </c>
      <c r="G11" s="2" t="inlineStr">
        <is>
          <t>POST /api/orders items [{product_id: 1, quantity: 20}] puis quantity 21</t>
        </is>
      </c>
      <c r="H11" s="2" t="inlineStr">
        <is>
          <t>1. Envoyer quantity 20
2. Envoyer quantity 21</t>
        </is>
      </c>
      <c r="I11" s="2" t="inlineStr">
        <is>
          <t>Quantité 20 acceptée (HTTP 201), quantité 21 refusée (HTTP 400, "quantity must be between 1 and 20")</t>
        </is>
      </c>
      <c r="J11" s="2" t="inlineStr">
        <is>
          <t>HTTP 201 pour 20, HTTP 400 pour 21</t>
        </is>
      </c>
      <c r="K11" s="3" t="inlineStr">
        <is>
          <t>Pass</t>
        </is>
      </c>
      <c r="L11" s="2" t="inlineStr"/>
    </row>
    <row r="12">
      <c r="A12" s="2" t="inlineStr">
        <is>
          <t>TC-L05</t>
        </is>
      </c>
      <c r="B12" s="2" t="inlineStr">
        <is>
          <t>Limite</t>
        </is>
      </c>
      <c r="C12" s="2" t="inlineStr">
        <is>
          <t>P1</t>
        </is>
      </c>
      <c r="D12" s="2" t="inlineStr">
        <is>
          <t>Commande au-delà du stock disponible</t>
        </is>
      </c>
      <c r="E12" s="2" t="inlineStr">
        <is>
          <t>Vérifier que le stock limite la quantité</t>
        </is>
      </c>
      <c r="F12" s="2" t="inlineStr">
        <is>
          <t>Client connecté, panier vide</t>
        </is>
      </c>
      <c r="G12" s="2" t="inlineStr">
        <is>
          <t>Tokyo Bowl : Salmon Bowl (stock = 2), quantité 3</t>
        </is>
      </c>
      <c r="H12" s="2" t="inlineStr">
        <is>
          <t>1. Ajouter Salmon Bowl quantité 3
2. Checkout carte
3. Confirmer
4. GET /api/products/{id}</t>
        </is>
      </c>
      <c r="I12" s="2" t="inlineStr">
        <is>
          <t>Ajout ou commande refusé : stock insuffisant</t>
        </is>
      </c>
      <c r="J12" s="2" t="inlineStr">
        <is>
          <t>Commande acceptée, stock du produit = -1
Preuve : docs/evidence/BUG-05-commande.png, BUG-05-api.txt</t>
        </is>
      </c>
      <c r="K12" s="4" t="inlineStr">
        <is>
          <t>Fail</t>
        </is>
      </c>
      <c r="L12" s="2" t="inlineStr">
        <is>
          <t>BUG-05</t>
        </is>
      </c>
    </row>
    <row r="13">
      <c r="A13" s="2" t="inlineStr">
        <is>
          <t>TC-L06</t>
        </is>
      </c>
      <c r="B13" s="2" t="inlineStr">
        <is>
          <t>Limite</t>
        </is>
      </c>
      <c r="C13" s="2" t="inlineStr">
        <is>
          <t>P3</t>
        </is>
      </c>
      <c r="D13" s="2" t="inlineStr">
        <is>
          <t>Filtre frais de livraison max 2,50 €</t>
        </is>
      </c>
      <c r="E13" s="2" t="inlineStr">
        <is>
          <t>Vérifier le filtre max_delivery</t>
        </is>
      </c>
      <c r="F13" s="2" t="inlineStr">
        <is>
          <t>Base seedée</t>
        </is>
      </c>
      <c r="G13" s="2" t="inlineStr">
        <is>
          <t>/?max_delivery=2.50</t>
        </is>
      </c>
      <c r="H13" s="2" t="inlineStr">
        <is>
          <t>1. Accueil
2. Filtrer frais de livraison max 2,50 €</t>
        </is>
      </c>
      <c r="I13" s="2" t="inlineStr">
        <is>
          <t>Seuls Green Kitchen (1,99 €) et Pizza Roma (2,49 €)</t>
        </is>
      </c>
      <c r="J13" s="2" t="inlineStr">
        <is>
          <t>Burger Factory, Tokyo Bowl, Couscous Atlas, Night Sushi (frais &gt;= 2,50 €)
Preuve : docs/evidence/BUG-10-filtre.png</t>
        </is>
      </c>
      <c r="K13" s="4" t="inlineStr">
        <is>
          <t>Fail</t>
        </is>
      </c>
      <c r="L13" s="2" t="inlineStr">
        <is>
          <t>BUG-10</t>
        </is>
      </c>
    </row>
    <row r="14">
      <c r="A14" s="2" t="inlineStr">
        <is>
          <t>TC-E01</t>
        </is>
      </c>
      <c r="B14" s="2" t="inlineStr">
        <is>
          <t>Erreur</t>
        </is>
      </c>
      <c r="C14" s="2" t="inlineStr">
        <is>
          <t>P2</t>
        </is>
      </c>
      <c r="D14" s="2" t="inlineStr">
        <is>
          <t>Connexion avec mauvais mot de passe</t>
        </is>
      </c>
      <c r="E14" s="2" t="inlineStr">
        <is>
          <t>Vérifier le refus d'identifiants invalides</t>
        </is>
      </c>
      <c r="F14" s="2" t="inlineStr">
        <is>
          <t>Utilisateur déconnecté</t>
        </is>
      </c>
      <c r="G14" s="2" t="inlineStr">
        <is>
          <t>alice@example.com / mauvais</t>
        </is>
      </c>
      <c r="H14" s="2" t="inlineStr">
        <is>
          <t>1. /login
2. Saisir les identifiants
3. Valider</t>
        </is>
      </c>
      <c r="I14" s="2" t="inlineStr">
        <is>
          <t>Message "Email ou mot de passe incorrect", pas de session</t>
        </is>
      </c>
      <c r="J14" s="2" t="inlineStr">
        <is>
          <t>Message affiché, non connecté</t>
        </is>
      </c>
      <c r="K14" s="3" t="inlineStr">
        <is>
          <t>Pass</t>
        </is>
      </c>
      <c r="L14" s="2" t="inlineStr"/>
    </row>
    <row r="15">
      <c r="A15" s="2" t="inlineStr">
        <is>
          <t>TC-E02</t>
        </is>
      </c>
      <c r="B15" s="2" t="inlineStr">
        <is>
          <t>Erreur</t>
        </is>
      </c>
      <c r="C15" s="2" t="inlineStr">
        <is>
          <t>P2</t>
        </is>
      </c>
      <c r="D15" s="2" t="inlineStr">
        <is>
          <t>Coupon expiré dans l'UI</t>
        </is>
      </c>
      <c r="E15" s="2" t="inlineStr">
        <is>
          <t>Vérifier le refus d'un coupon expiré</t>
        </is>
      </c>
      <c r="F15" s="2" t="inlineStr">
        <is>
          <t>Client connecté, panier 23,80 €</t>
        </is>
      </c>
      <c r="G15" s="2" t="inlineStr">
        <is>
          <t>Coupon EXPIRED10</t>
        </is>
      </c>
      <c r="H15" s="2" t="inlineStr">
        <is>
          <t>1. /checkout
2. Saisir EXPIRED10
3. Appliquer</t>
        </is>
      </c>
      <c r="I15" s="2" t="inlineStr">
        <is>
          <t>Message "Coupon invalide ou expiré", réduction 0 €</t>
        </is>
      </c>
      <c r="J15" s="2" t="inlineStr">
        <is>
          <t>Message affiché, réduction 0 €</t>
        </is>
      </c>
      <c r="K15" s="3" t="inlineStr">
        <is>
          <t>Pass</t>
        </is>
      </c>
      <c r="L15" s="2" t="inlineStr"/>
    </row>
    <row r="16">
      <c r="A16" s="2" t="inlineStr">
        <is>
          <t>TC-E03</t>
        </is>
      </c>
      <c r="B16" s="2" t="inlineStr">
        <is>
          <t>Erreur</t>
        </is>
      </c>
      <c r="C16" s="2" t="inlineStr">
        <is>
          <t>P1</t>
        </is>
      </c>
      <c r="D16" s="2" t="inlineStr">
        <is>
          <t>API sans clé</t>
        </is>
      </c>
      <c r="E16" s="2" t="inlineStr">
        <is>
          <t>Vérifier la protection de l'API</t>
        </is>
      </c>
      <c r="F16" s="2" t="inlineStr">
        <is>
          <t>App démarrée</t>
        </is>
      </c>
      <c r="G16" s="2" t="inlineStr">
        <is>
          <t>GET /api/restaurants sans header X-API-Key</t>
        </is>
      </c>
      <c r="H16" s="2" t="inlineStr">
        <is>
          <t>1. Envoyer la requête sans Authorize</t>
        </is>
      </c>
      <c r="I16" s="2" t="inlineStr">
        <is>
          <t>HTTP 401 {error: missing or invalid X-API-Key}</t>
        </is>
      </c>
      <c r="J16" s="2" t="inlineStr">
        <is>
          <t>HTTP 401</t>
        </is>
      </c>
      <c r="K16" s="3" t="inlineStr">
        <is>
          <t>Pass</t>
        </is>
      </c>
      <c r="L16" s="2" t="inlineStr"/>
    </row>
    <row r="17">
      <c r="A17" s="2" t="inlineStr">
        <is>
          <t>TC-E04</t>
        </is>
      </c>
      <c r="B17" s="2" t="inlineStr">
        <is>
          <t>Erreur</t>
        </is>
      </c>
      <c r="C17" s="2" t="inlineStr">
        <is>
          <t>P1</t>
        </is>
      </c>
      <c r="D17" s="2" t="inlineStr">
        <is>
          <t>Paiement espèces insuffisant</t>
        </is>
      </c>
      <c r="E17" s="2" t="inlineStr">
        <is>
          <t>Vérifier le contrôle du montant remis</t>
        </is>
      </c>
      <c r="F17" s="2" t="inlineStr">
        <is>
          <t>Client connecté, panier 23,80 € (total 26,79 €)</t>
        </is>
      </c>
      <c r="G17" s="2" t="inlineStr">
        <is>
          <t>Paiement espèces, montant remis 5 €</t>
        </is>
      </c>
      <c r="H17" s="2" t="inlineStr">
        <is>
          <t>1. /checkout
2. Espèces, saisir 5
3. Confirmer</t>
        </is>
      </c>
      <c r="I17" s="2" t="inlineStr">
        <is>
          <t>Refus : montant inférieur au total</t>
        </is>
      </c>
      <c r="J17" s="2" t="inlineStr">
        <is>
          <t>Commande confirmée et payée, rendu monnaie -21,79 €
Preuve : docs/evidence/BUG-02-commande.png</t>
        </is>
      </c>
      <c r="K17" s="4" t="inlineStr">
        <is>
          <t>Fail</t>
        </is>
      </c>
      <c r="L17" s="2" t="inlineStr">
        <is>
          <t>BUG-02</t>
        </is>
      </c>
    </row>
    <row r="18">
      <c r="A18" s="2" t="inlineStr">
        <is>
          <t>TC-E05</t>
        </is>
      </c>
      <c r="B18" s="2" t="inlineStr">
        <is>
          <t>Erreur</t>
        </is>
      </c>
      <c r="C18" s="2" t="inlineStr">
        <is>
          <t>P1</t>
        </is>
      </c>
      <c r="D18" s="2" t="inlineStr">
        <is>
          <t>API : commande avec coupon expiré</t>
        </is>
      </c>
      <c r="E18" s="2" t="inlineStr">
        <is>
          <t>Vérifier que l'API refuse un coupon expiré</t>
        </is>
      </c>
      <c r="F18" s="2" t="inlineStr">
        <is>
          <t>Swagger autorisé</t>
        </is>
      </c>
      <c r="G18" s="2" t="inlineStr">
        <is>
          <t>POST /api/orders {items:[{product_id:1, quantity:2}], coupon: EXPIRED10}</t>
        </is>
      </c>
      <c r="H18" s="2" t="inlineStr">
        <is>
          <t>1. Envoyer la requête
2. Lire discount</t>
        </is>
      </c>
      <c r="I18" s="2" t="inlineStr">
        <is>
          <t>discount = 0 (ou 400)</t>
        </is>
      </c>
      <c r="J18" s="2" t="inlineStr">
        <is>
          <t>201, discount = 2.38 : le coupon expiré est appliqué
Preuve : docs/evidence/BUG-06-api.txt</t>
        </is>
      </c>
      <c r="K18" s="4" t="inlineStr">
        <is>
          <t>Fail</t>
        </is>
      </c>
      <c r="L18" s="2" t="inlineStr">
        <is>
          <t>BUG-06</t>
        </is>
      </c>
    </row>
    <row r="19">
      <c r="A19" s="2" t="inlineStr">
        <is>
          <t>TC-E06</t>
        </is>
      </c>
      <c r="B19" s="2" t="inlineStr">
        <is>
          <t>Erreur</t>
        </is>
      </c>
      <c r="C19" s="2" t="inlineStr">
        <is>
          <t>P1</t>
        </is>
      </c>
      <c r="D19" s="2" t="inlineStr">
        <is>
          <t>Accès à la commande d'un autre client</t>
        </is>
      </c>
      <c r="E19" s="2" t="inlineStr">
        <is>
          <t>Vérifier le cloisonnement des commandes (UI)</t>
        </is>
      </c>
      <c r="F19" s="2" t="inlineStr">
        <is>
          <t>Connecté en bob@example.com, la commande 1 appartient à Alice</t>
        </is>
      </c>
      <c r="G19" s="2" t="inlineStr">
        <is>
          <t>/orders/1</t>
        </is>
      </c>
      <c r="H19" s="2" t="inlineStr">
        <is>
          <t>1. Se connecter en Bob
2. Ouvrir /orders/1</t>
        </is>
      </c>
      <c r="I19" s="2" t="inlineStr">
        <is>
          <t>Refus "Commande inaccessible", redirection vers /orders</t>
        </is>
      </c>
      <c r="J19" s="2" t="inlineStr">
        <is>
          <t>Message affiché, redirection</t>
        </is>
      </c>
      <c r="K19" s="3" t="inlineStr">
        <is>
          <t>Pass</t>
        </is>
      </c>
      <c r="L19" s="2" t="inlineStr"/>
    </row>
    <row r="20">
      <c r="A20" s="2" t="inlineStr">
        <is>
          <t>TC-R01</t>
        </is>
      </c>
      <c r="B20" s="2" t="inlineStr">
        <is>
          <t>Règle métier</t>
        </is>
      </c>
      <c r="C20" s="2" t="inlineStr">
        <is>
          <t>P2</t>
        </is>
      </c>
      <c r="D20" s="2" t="inlineStr">
        <is>
          <t>Panier mono-restaurant</t>
        </is>
      </c>
      <c r="E20" s="2" t="inlineStr">
        <is>
          <t>Vérifier qu'un panier ne mélange pas les restaurants</t>
        </is>
      </c>
      <c r="F20" s="2" t="inlineStr">
        <is>
          <t>Client connecté, panier contenant Classic Burger</t>
        </is>
      </c>
      <c r="G20" s="2" t="inlineStr">
        <is>
          <t>Ajout Margherita (Pizza Roma)</t>
        </is>
      </c>
      <c r="H20" s="2" t="inlineStr">
        <is>
          <t>1. Ajouter Margherita</t>
        </is>
      </c>
      <c r="I20" s="2" t="inlineStr">
        <is>
          <t>Refus "Un panier ne peut contenir que des produits du même restaurant"</t>
        </is>
      </c>
      <c r="J20" s="2" t="inlineStr">
        <is>
          <t>Message affiché, panier inchangé</t>
        </is>
      </c>
      <c r="K20" s="3" t="inlineStr">
        <is>
          <t>Pass</t>
        </is>
      </c>
      <c r="L20" s="2" t="inlineStr"/>
    </row>
    <row r="21">
      <c r="A21" s="2" t="inlineStr">
        <is>
          <t>TC-R02</t>
        </is>
      </c>
      <c r="B21" s="2" t="inlineStr">
        <is>
          <t>Règle métier</t>
        </is>
      </c>
      <c r="C21" s="2" t="inlineStr">
        <is>
          <t>P1</t>
        </is>
      </c>
      <c r="D21" s="2" t="inlineStr">
        <is>
          <t>Commande sur restaurant fermé</t>
        </is>
      </c>
      <c r="E21" s="2" t="inlineStr">
        <is>
          <t>Vérifier qu'un restaurant fermé ne reçoit pas de commande</t>
        </is>
      </c>
      <c r="F21" s="2" t="inlineStr">
        <is>
          <t>Client connecté, panier vide</t>
        </is>
      </c>
      <c r="G21" s="2" t="inlineStr">
        <is>
          <t>Night Sushi (is_open = false) : Late Sushi Box</t>
        </is>
      </c>
      <c r="H21" s="2" t="inlineStr">
        <is>
          <t>1. Ouvrir Night Sushi
2. Ajouter Late Sushi Box
3. Checkout, paiement PayPal</t>
        </is>
      </c>
      <c r="I21" s="2" t="inlineStr">
        <is>
          <t>Ajout ou commande refusé</t>
        </is>
      </c>
      <c r="J21" s="2" t="inlineStr">
        <is>
          <t>Produit ajouté, commande confirmée et payée
Preuve : docs/evidence/BUG-03-commande.png</t>
        </is>
      </c>
      <c r="K21" s="4" t="inlineStr">
        <is>
          <t>Fail</t>
        </is>
      </c>
      <c r="L21" s="2" t="inlineStr">
        <is>
          <t>BUG-03</t>
        </is>
      </c>
    </row>
    <row r="22">
      <c r="A22" s="2" t="inlineStr">
        <is>
          <t>TC-R03</t>
        </is>
      </c>
      <c r="B22" s="2" t="inlineStr">
        <is>
          <t>Règle métier</t>
        </is>
      </c>
      <c r="C22" s="2" t="inlineStr">
        <is>
          <t>P1</t>
        </is>
      </c>
      <c r="D22" s="2" t="inlineStr">
        <is>
          <t>Minimum de commande</t>
        </is>
      </c>
      <c r="E22" s="2" t="inlineStr">
        <is>
          <t>Vérifier l'application du minimum restaurant</t>
        </is>
      </c>
      <c r="F22" s="2" t="inlineStr">
        <is>
          <t>Client connecté, panier vide</t>
        </is>
      </c>
      <c r="G22" s="2" t="inlineStr">
        <is>
          <t>Couscous Atlas (minimum 25 €) : Thé à la menthe 3,50 €</t>
        </is>
      </c>
      <c r="H22" s="2" t="inlineStr">
        <is>
          <t>1. Ajouter Thé à la menthe
2. Checkout carte
3. Confirmer</t>
        </is>
      </c>
      <c r="I22" s="2" t="inlineStr">
        <is>
          <t>Refus : minimum de 25 € non atteint</t>
        </is>
      </c>
      <c r="J22" s="2" t="inlineStr">
        <is>
          <t>Commande confirmée à 6,49 €
Preuve : docs/evidence/BUG-04-commande.png</t>
        </is>
      </c>
      <c r="K22" s="4" t="inlineStr">
        <is>
          <t>Fail</t>
        </is>
      </c>
      <c r="L22" s="2" t="inlineStr">
        <is>
          <t>BUG-04</t>
        </is>
      </c>
    </row>
    <row r="23">
      <c r="A23" s="2" t="inlineStr">
        <is>
          <t>TC-R04</t>
        </is>
      </c>
      <c r="B23" s="2" t="inlineStr">
        <is>
          <t>Règle métier</t>
        </is>
      </c>
      <c r="C23" s="2" t="inlineStr">
        <is>
          <t>P1</t>
        </is>
      </c>
      <c r="D23" s="2" t="inlineStr">
        <is>
          <t>Paiement PayPal : une seule commande</t>
        </is>
      </c>
      <c r="E23" s="2" t="inlineStr">
        <is>
          <t>Vérifier l'unicité de la commande</t>
        </is>
      </c>
      <c r="F23" s="2" t="inlineStr">
        <is>
          <t>Client connecté, panier 23,80 €</t>
        </is>
      </c>
      <c r="G23" s="2" t="inlineStr">
        <is>
          <t>Paiement PayPal</t>
        </is>
      </c>
      <c r="H23" s="2" t="inlineStr">
        <is>
          <t>1. Checkout
2. PayPal
3. Confirmer
4. Ouvrir /orders</t>
        </is>
      </c>
      <c r="I23" s="2" t="inlineStr">
        <is>
          <t>Une seule commande créée</t>
        </is>
      </c>
      <c r="J23" s="2" t="inlineStr">
        <is>
          <t>Deux commandes identiques créées et payées
Preuve : docs/evidence/BUG-01-orders.png</t>
        </is>
      </c>
      <c r="K23" s="4" t="inlineStr">
        <is>
          <t>Fail</t>
        </is>
      </c>
      <c r="L23" s="2" t="inlineStr">
        <is>
          <t>BUG-01</t>
        </is>
      </c>
    </row>
    <row r="24">
      <c r="A24" s="2" t="inlineStr">
        <is>
          <t>TC-R05</t>
        </is>
      </c>
      <c r="B24" s="2" t="inlineStr">
        <is>
          <t>Règle métier</t>
        </is>
      </c>
      <c r="C24" s="2" t="inlineStr">
        <is>
          <t>P2</t>
        </is>
      </c>
      <c r="D24" s="2" t="inlineStr">
        <is>
          <t>Promo ATLAS15 conforme à l'affichage</t>
        </is>
      </c>
      <c r="E24" s="2" t="inlineStr">
        <is>
          <t>Vérifier que la promo annoncée (-15 %) est appliquée</t>
        </is>
      </c>
      <c r="F24" s="2" t="inlineStr">
        <is>
          <t>Client connecté, panier Couscous Atlas</t>
        </is>
      </c>
      <c r="G24" s="2" t="inlineStr">
        <is>
          <t>2 Tajine Poulet Citron = 31,80 €, coupon ATLAS15</t>
        </is>
      </c>
      <c r="H24" s="2" t="inlineStr">
        <is>
          <t>1. Checkout
2. Saisir ATLAS15</t>
        </is>
      </c>
      <c r="I24" s="2" t="inlineStr">
        <is>
          <t>Réduction 15 % = 4,77 €</t>
        </is>
      </c>
      <c r="J24" s="2" t="inlineStr">
        <is>
          <t>Réduction 3,18 € (10 %), total 31,61 €</t>
        </is>
      </c>
      <c r="K24" s="4" t="inlineStr">
        <is>
          <t>Fail</t>
        </is>
      </c>
      <c r="L24" s="2" t="inlineStr">
        <is>
          <t>BUG-09</t>
        </is>
      </c>
    </row>
    <row r="25">
      <c r="A25" s="2" t="inlineStr">
        <is>
          <t>TC-R06</t>
        </is>
      </c>
      <c r="B25" s="2" t="inlineStr">
        <is>
          <t>Règle métier</t>
        </is>
      </c>
      <c r="C25" s="2" t="inlineStr">
        <is>
          <t>P2</t>
        </is>
      </c>
      <c r="D25" s="2" t="inlineStr">
        <is>
          <t>Transition de statut interdite</t>
        </is>
      </c>
      <c r="E25" s="2" t="inlineStr">
        <is>
          <t>Vérifier qu'une commande livrée ne revient pas en arrière</t>
        </is>
      </c>
      <c r="F25" s="2" t="inlineStr">
        <is>
          <t>Connecté admin, commande 1 au statut delivered</t>
        </is>
      </c>
      <c r="G25" s="2" t="inlineStr">
        <is>
          <t>status = confirmed</t>
        </is>
      </c>
      <c r="H25" s="2" t="inlineStr">
        <is>
          <t>1. /admin
2. Commande 1 : choisir confirmed
3. Valider</t>
        </is>
      </c>
      <c r="I25" s="2" t="inlineStr">
        <is>
          <t>Refus : une commande livrée ne peut pas repasser en confirmed</t>
        </is>
      </c>
      <c r="J25" s="2" t="inlineStr">
        <is>
          <t>"Statut mis à jour", commande repasse confirmed
Preuve : docs/evidence/BUG-08-apres.png</t>
        </is>
      </c>
      <c r="K25" s="4" t="inlineStr">
        <is>
          <t>Fail</t>
        </is>
      </c>
      <c r="L25" s="2" t="inlineStr">
        <is>
          <t>BUG-08</t>
        </is>
      </c>
    </row>
  </sheetData>
  <autoFilter ref="A1:L25"/>
  <dataValidations count="1">
    <dataValidation sqref="K2:K25" showErrorMessage="1" showInputMessage="1" allowBlank="0" type="list">
      <formula1>"Pass,Fail,Blocked,Skipped"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5" t="inlineStr">
        <is>
          <t>Indicateur</t>
        </is>
      </c>
      <c r="B1" s="5" t="inlineStr">
        <is>
          <t>Valeur</t>
        </is>
      </c>
    </row>
    <row r="2">
      <c r="A2" t="inlineStr">
        <is>
          <t>Total</t>
        </is>
      </c>
      <c r="B2">
        <f>COUNTA('Cas de test'!A2:A25)</f>
        <v/>
      </c>
    </row>
    <row r="3">
      <c r="A3" t="inlineStr">
        <is>
          <t>Pass</t>
        </is>
      </c>
      <c r="B3">
        <f>COUNTIF('Cas de test'!K2:K25,"Pass")</f>
        <v/>
      </c>
    </row>
    <row r="4">
      <c r="A4" t="inlineStr">
        <is>
          <t>Fail</t>
        </is>
      </c>
      <c r="B4">
        <f>COUNTIF('Cas de test'!K2:K25,"Fail")</f>
        <v/>
      </c>
    </row>
    <row r="5">
      <c r="A5" t="inlineStr">
        <is>
          <t>Blocked</t>
        </is>
      </c>
      <c r="B5">
        <f>COUNTIF('Cas de test'!K2:K25,"Blocked")</f>
        <v/>
      </c>
    </row>
    <row r="6">
      <c r="A6" t="inlineStr">
        <is>
          <t>Skipped</t>
        </is>
      </c>
      <c r="B6">
        <f>COUNTIF('Cas de test'!K2:K25,"Skipped")</f>
        <v/>
      </c>
    </row>
    <row r="7">
      <c r="A7" t="inlineStr">
        <is>
          <t>Taux de Pass</t>
        </is>
      </c>
      <c r="B7" s="6">
        <f>B3/B2</f>
        <v/>
      </c>
    </row>
    <row r="9">
      <c r="A9" s="5" t="inlineStr">
        <is>
          <t>Type</t>
        </is>
      </c>
      <c r="B9" s="5" t="inlineStr">
        <is>
          <t>Nombre</t>
        </is>
      </c>
    </row>
    <row r="10">
      <c r="A10" t="inlineStr">
        <is>
          <t>Nominal</t>
        </is>
      </c>
      <c r="B10">
        <f>COUNTIF('Cas de test'!B2:B25,"Nominal")</f>
        <v/>
      </c>
    </row>
    <row r="11">
      <c r="A11" t="inlineStr">
        <is>
          <t>Limite</t>
        </is>
      </c>
      <c r="B11">
        <f>COUNTIF('Cas de test'!B2:B25,"Limite")</f>
        <v/>
      </c>
    </row>
    <row r="12">
      <c r="A12" t="inlineStr">
        <is>
          <t>Erreur</t>
        </is>
      </c>
      <c r="B12">
        <f>COUNTIF('Cas de test'!B2:B25,"Erreur")</f>
        <v/>
      </c>
    </row>
    <row r="13">
      <c r="A13" t="inlineStr">
        <is>
          <t>Règle métier</t>
        </is>
      </c>
      <c r="B13">
        <f>COUNTIF('Cas de test'!B2:B25,"Règle métier")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2026-10-09T08:00:01Z</dcterms:created>
  <dcterms:modified xmlns:dcterms="http://purl.org/dc/terms/" xmlns:xsi="http://www.w3.org/2001/XMLSchema-instance" xsi:type="dcterms:W3CDTF">2026-10-09T08:00:01Z</dcterms:modified>
</cp:coreProperties>
</file>